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eom\Downloads\PCB Designs\Curve Tracer\"/>
    </mc:Choice>
  </mc:AlternateContent>
  <xr:revisionPtr revIDLastSave="0" documentId="13_ncr:1_{97A6F4D0-BFBE-46F5-9B6D-D2CD17B5AB7D}" xr6:coauthVersionLast="47" xr6:coauthVersionMax="47" xr10:uidLastSave="{00000000-0000-0000-0000-000000000000}"/>
  <bookViews>
    <workbookView xWindow="-120" yWindow="-120" windowWidth="19440" windowHeight="10440" xr2:uid="{6C2D096C-0C68-4202-8D04-6D928915E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0" i="1" l="1"/>
  <c r="F29" i="1"/>
  <c r="F20" i="1"/>
  <c r="F26" i="1" s="1"/>
</calcChain>
</file>

<file path=xl/sharedStrings.xml><?xml version="1.0" encoding="utf-8"?>
<sst xmlns="http://schemas.openxmlformats.org/spreadsheetml/2006/main" count="122" uniqueCount="90">
  <si>
    <t>Reference</t>
  </si>
  <si>
    <t>Qty</t>
  </si>
  <si>
    <t>Value</t>
  </si>
  <si>
    <t>Footprint</t>
  </si>
  <si>
    <t>Capacitor_SMD:CP_Elec_4x5.8</t>
  </si>
  <si>
    <t>C5</t>
  </si>
  <si>
    <t>Capacitor_SMD:C_0805_2012Metric</t>
  </si>
  <si>
    <t>D1</t>
  </si>
  <si>
    <t>ESD9C5.0ST5G</t>
  </si>
  <si>
    <t>Diode_SMD:D_SOD-923</t>
  </si>
  <si>
    <t>D2,D3,D4,D5,D6,D7</t>
  </si>
  <si>
    <t>D_Schottky_Small</t>
  </si>
  <si>
    <t>Diode_SMD:D_SOD-323</t>
  </si>
  <si>
    <t>IC1</t>
  </si>
  <si>
    <t>TL072HIPWR</t>
  </si>
  <si>
    <t>TL072HIPWR:SOP65P640X120-8N</t>
  </si>
  <si>
    <t>J1</t>
  </si>
  <si>
    <t>9V Battery</t>
  </si>
  <si>
    <t>Battery:BatteryHolder_MPD_BA9VPC_1xPP3</t>
  </si>
  <si>
    <t>J2</t>
  </si>
  <si>
    <t>DUT</t>
  </si>
  <si>
    <t>Connector_PinSocket_2.54mm:PinSocket_1x03_P2.54mm_Vertical</t>
  </si>
  <si>
    <t>R1</t>
  </si>
  <si>
    <t>Resistor_SMD:R_0603_1608Metric</t>
  </si>
  <si>
    <t>R2</t>
  </si>
  <si>
    <t>R3,R7</t>
  </si>
  <si>
    <t>R4</t>
  </si>
  <si>
    <t>R5</t>
  </si>
  <si>
    <t>R6</t>
  </si>
  <si>
    <t>R8</t>
  </si>
  <si>
    <t>R9</t>
  </si>
  <si>
    <t>R10</t>
  </si>
  <si>
    <t>Resistor_THT:R_Axial_DIN0207_L6.3mm_D2.5mm_P7.62mm_Horizontal</t>
  </si>
  <si>
    <t>TP1,TP2,TP3,TP4,TP5,TP6,TP7,TP8,TP9</t>
  </si>
  <si>
    <t>TestPoint</t>
  </si>
  <si>
    <t>TestPoint:TestPoint_Loop_D2.50mm_Drill1.0mm_LowProfile</t>
  </si>
  <si>
    <t>U1</t>
  </si>
  <si>
    <t>U2</t>
  </si>
  <si>
    <t>Package_TO_SOT_SMD:SOT-223-3_TabPin2</t>
  </si>
  <si>
    <t>U3</t>
  </si>
  <si>
    <t>CD4017BM96</t>
  </si>
  <si>
    <t>CD4017BM96:D16</t>
  </si>
  <si>
    <t>4.7µF</t>
  </si>
  <si>
    <t>MFN</t>
  </si>
  <si>
    <t>Unit Price</t>
  </si>
  <si>
    <t>Link</t>
  </si>
  <si>
    <t>10kΩ</t>
  </si>
  <si>
    <t>20kΩ</t>
  </si>
  <si>
    <t>1kΩ</t>
  </si>
  <si>
    <t>7.5kΩ</t>
  </si>
  <si>
    <t>3.3kΩ</t>
  </si>
  <si>
    <t>1.8kΩ</t>
  </si>
  <si>
    <t>560Ω</t>
  </si>
  <si>
    <t>1.2kΩ</t>
  </si>
  <si>
    <t>RCS0603560RFKEA</t>
  </si>
  <si>
    <t>SG73P1JTTD1001F</t>
  </si>
  <si>
    <t>RCS06031K20FKEA</t>
  </si>
  <si>
    <t>RCS06031K80FKEA</t>
  </si>
  <si>
    <t>RCS06033K30FKEA</t>
  </si>
  <si>
    <t>RCS06037K50FKEA</t>
  </si>
  <si>
    <t>RCS060310K0FKEA</t>
  </si>
  <si>
    <t>RCS060320K0FKEA</t>
  </si>
  <si>
    <t>MFR50SFTE52-1K</t>
  </si>
  <si>
    <t>HRE CSA0805X7R475K160MT</t>
  </si>
  <si>
    <t>CUS15S30,H3F</t>
  </si>
  <si>
    <t>TL072H</t>
  </si>
  <si>
    <t>CD4017B</t>
  </si>
  <si>
    <t>BA9VPC</t>
  </si>
  <si>
    <t>Amazon</t>
  </si>
  <si>
    <t>Chanzon Pin Header Strip</t>
  </si>
  <si>
    <t>Comimark</t>
  </si>
  <si>
    <t>0.1µF</t>
  </si>
  <si>
    <t>Capacitor_SMD:C_0402_1005Metric</t>
  </si>
  <si>
    <t>C0603C104K4RACTU</t>
  </si>
  <si>
    <t>HT7350-A</t>
  </si>
  <si>
    <t>ICL7660SCBAZ-T</t>
  </si>
  <si>
    <t>10µF</t>
  </si>
  <si>
    <t>C1,C2</t>
  </si>
  <si>
    <t>C_BYP1,C_BYP2,C_BYP3,C_BYP4</t>
  </si>
  <si>
    <t>D8</t>
  </si>
  <si>
    <t>1N5817</t>
  </si>
  <si>
    <t>Custom_miscellaneous_v10:ICL7660</t>
  </si>
  <si>
    <t>Diode_SMD:D_SOD-123</t>
  </si>
  <si>
    <t>1N5817W</t>
  </si>
  <si>
    <t>Component Total:</t>
  </si>
  <si>
    <t>PCBWay Quote (No PCBA)</t>
  </si>
  <si>
    <t>PCBWay Quote (With PCBA)</t>
  </si>
  <si>
    <t>Per Board</t>
  </si>
  <si>
    <t xml:space="preserve">Grand Total (No PCBA): </t>
  </si>
  <si>
    <t xml:space="preserve">Grand Total (With PCBA):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</si>
</sst>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.0000_ ;_-[$$-409]* \-#,##0.0000\ ;_-[$$-409]* &quot;-&quot;??_ ;_-@_ 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" fillId="0" borderId="6" xfId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1" fillId="0" borderId="11" xfId="1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64" fontId="3" fillId="0" borderId="9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vishay-dale/RCS060320K0FKEA/5866943" TargetMode="External"/><Relationship Id="rId13" Type="http://schemas.openxmlformats.org/officeDocument/2006/relationships/hyperlink" Target="https://www.digikey.com/en/products/detail/texas-instruments/TL072HIPWR/15212754?s=N4IgTCBcDaIC4BsAMB2MALAlgBwO4CcQBdAXyA" TargetMode="External"/><Relationship Id="rId18" Type="http://schemas.openxmlformats.org/officeDocument/2006/relationships/hyperlink" Target="https://www.digikey.com/en/products/detail/kemet/C0603C104K4RACTU/411095" TargetMode="External"/><Relationship Id="rId3" Type="http://schemas.openxmlformats.org/officeDocument/2006/relationships/hyperlink" Target="https://www.digikey.com/en/products/detail/vishay-dale/RCS06031K20FKEA/5868493" TargetMode="External"/><Relationship Id="rId21" Type="http://schemas.openxmlformats.org/officeDocument/2006/relationships/hyperlink" Target="https://www.digikey.com/en/products/detail/w%C3%BCrth-elektronik/865080340001/5728006" TargetMode="External"/><Relationship Id="rId7" Type="http://schemas.openxmlformats.org/officeDocument/2006/relationships/hyperlink" Target="https://www.digikey.com/en/products/detail/vishay-dale/RCS060310K0FKEA/5866941" TargetMode="External"/><Relationship Id="rId12" Type="http://schemas.openxmlformats.org/officeDocument/2006/relationships/hyperlink" Target="https://www.digikey.com/en/products/detail/onsemi/ESD9C5-0ST5G/1646451" TargetMode="External"/><Relationship Id="rId17" Type="http://schemas.openxmlformats.org/officeDocument/2006/relationships/hyperlink" Target="https://www.amazon.com/Comimark-100Pcs-Black-Soldering-Breadboard/dp/B07X32N4YJ/ref=sr_1_1?crid=11Y27NG5MXK85&amp;dib=eyJ2IjoiMSJ9.Sn6BH-RJUtWRKUtujmhpSk8IRACyUutjsUOgggeuLc_oNCo9KVz4ITz1YmYtsnX-y09dLqzWmGfRMLOG4nVpkS4hRBtErre3agoVOVMYkU_oyvS--G0UwNcWyakGdJLTxte4IQJmYlO5eEFmbLq7Y-1gj-UymnBXlgo5pBxkXPEZ-E427ph3GhMX_whLVsprlR1WMU0jmgR_M9ukYtzPteUhENz_2tq74_yv00q7qPM.3f9PZLJPer3qoZhg2StTFpoUQrBu_9MZXgRtR2hrMCc&amp;dib_tag=se&amp;keywords=test+point+loops&amp;qid=1777049384&amp;sprefix=test+point+loop%2Caps%2C500&amp;sr=8-1" TargetMode="External"/><Relationship Id="rId2" Type="http://schemas.openxmlformats.org/officeDocument/2006/relationships/hyperlink" Target="https://www.digikey.com/en/products/detail/koa-speer-electronics-inc/SG73P1JTTD1001F/10188084" TargetMode="External"/><Relationship Id="rId16" Type="http://schemas.openxmlformats.org/officeDocument/2006/relationships/hyperlink" Target="https://www.amazon.com/Chanzon-Straight-Connector-Breadboard-Electronic/dp/B09MYMD4YS/ref=sr_1_3?dib=eyJ2IjoiMSJ9.GrJxfNx0F2cAt6PnjRdKA82szZYePbLhoVho0Zy9F7zmHzTH6by10PXOTUg59rH7MdtK9E62G2TLVEc9Ic1MkcSzO2L_Zk9rHfYmK__2CCP3Nxa1th2O_BPRGoKdQ-0jUN9vaDvq2NAM4HpMO_qkmWEkstaUDHMQl8srMS_3k2_1sVM2iq69HcmzUMZ2Pd8yq3Z1HwKbkvcACMh2IYVibtlABXyCCMJub1vdL23M720.hchkNe-puKjyXmwnDobjsGTqQ7Z14TeoCV2NVMp1rOU&amp;dib_tag=se&amp;keywords=3+pin+header+socket+2.54mm&amp;qid=1777049254&amp;sr=8-3" TargetMode="External"/><Relationship Id="rId20" Type="http://schemas.openxmlformats.org/officeDocument/2006/relationships/hyperlink" Target="https://www.digikey.com/en/products/detail/renesas-electronics-corporation/ICL7660SCBAZ-T/1034515" TargetMode="External"/><Relationship Id="rId1" Type="http://schemas.openxmlformats.org/officeDocument/2006/relationships/hyperlink" Target="https://www.digikey.com/en/products/detail/vishay-dale/RCS0603560RFKEA/5868457" TargetMode="External"/><Relationship Id="rId6" Type="http://schemas.openxmlformats.org/officeDocument/2006/relationships/hyperlink" Target="https://www.digikey.com/en/products/detail/vishay-dale/RCS06037K50FKEA/5868579" TargetMode="External"/><Relationship Id="rId11" Type="http://schemas.openxmlformats.org/officeDocument/2006/relationships/hyperlink" Target="https://www.digikey.com/en/products/detail/toshiba-semiconductor-and-storage/CUS15S30-H3F/5114301" TargetMode="External"/><Relationship Id="rId5" Type="http://schemas.openxmlformats.org/officeDocument/2006/relationships/hyperlink" Target="https://www.digikey.com/en/products/detail/vishay-dale/RCS06033K30FKEA/5868540" TargetMode="External"/><Relationship Id="rId15" Type="http://schemas.openxmlformats.org/officeDocument/2006/relationships/hyperlink" Target="https://www.digikey.com/en/products/detail/mpd-memory-protection-devices/BA9VPC/2439228?s=N4IgTCBcDaIEIEECcA1ACgYRAXQL5A" TargetMode="External"/><Relationship Id="rId10" Type="http://schemas.openxmlformats.org/officeDocument/2006/relationships/hyperlink" Target="https://www.lcsc.com/product-detail/C5254897.html?spm=wm.fly.bg.1.xh___wm.sy.top.tjl.8-5&amp;lcsc_vid=T1lbVVVWElFaVFIAE1lXUl0HQVMLBl1RQlEIVwJWRAAxVlNRQFFaX1JQTlNdUjtW" TargetMode="External"/><Relationship Id="rId19" Type="http://schemas.openxmlformats.org/officeDocument/2006/relationships/hyperlink" Target="https://www.digikey.com/en/products/detail/umw/HT7350-A/17635221" TargetMode="External"/><Relationship Id="rId4" Type="http://schemas.openxmlformats.org/officeDocument/2006/relationships/hyperlink" Target="https://www.digikey.com/en/products/detail/vishay-dale/RCS06031K80FKEA/5868511" TargetMode="External"/><Relationship Id="rId9" Type="http://schemas.openxmlformats.org/officeDocument/2006/relationships/hyperlink" Target="https://www.digikey.com/en/products/detail/yageo/MFR50SFTE52-1K/9151157" TargetMode="External"/><Relationship Id="rId14" Type="http://schemas.openxmlformats.org/officeDocument/2006/relationships/hyperlink" Target="https://www.digikey.com/en/products/detail/texas-instruments/CD4017BM96/1690809" TargetMode="External"/><Relationship Id="rId22" Type="http://schemas.openxmlformats.org/officeDocument/2006/relationships/hyperlink" Target="https://www.digikey.com/en/products/detail/shenzhen-slkormicro-semicon-co-ltd/1N5817W/25701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7ABF-F2DB-4162-AAC4-DA7F460B8670}">
  <dimension ref="B1:H30"/>
  <sheetViews>
    <sheetView tabSelected="1" topLeftCell="A21" workbookViewId="0">
      <selection activeCell="F31" sqref="F31"/>
    </sheetView>
  </sheetViews>
  <sheetFormatPr defaultRowHeight="15" x14ac:dyDescent="0.25"/>
  <cols>
    <col min="1" max="1" width="7.28515625" customWidth="1"/>
    <col min="2" max="2" width="16.140625" customWidth="1"/>
    <col min="4" max="4" width="17.5703125" customWidth="1"/>
    <col min="5" max="5" width="35.28515625" customWidth="1"/>
    <col min="6" max="6" width="14.140625" style="1" customWidth="1"/>
    <col min="7" max="7" width="26" customWidth="1"/>
    <col min="8" max="8" width="63.28515625" customWidth="1"/>
  </cols>
  <sheetData>
    <row r="1" spans="2:8" ht="15.75" thickBot="1" x14ac:dyDescent="0.3"/>
    <row r="2" spans="2:8" ht="16.5" thickBot="1" x14ac:dyDescent="0.3">
      <c r="B2" s="19" t="s">
        <v>0</v>
      </c>
      <c r="C2" s="19" t="s">
        <v>1</v>
      </c>
      <c r="D2" s="19" t="s">
        <v>2</v>
      </c>
      <c r="E2" s="19" t="s">
        <v>43</v>
      </c>
      <c r="F2" s="23" t="s">
        <v>44</v>
      </c>
      <c r="G2" s="19" t="s">
        <v>45</v>
      </c>
      <c r="H2" s="19" t="s">
        <v>3</v>
      </c>
    </row>
    <row r="3" spans="2:8" x14ac:dyDescent="0.25">
      <c r="B3" s="18" t="s">
        <v>77</v>
      </c>
      <c r="C3" s="20">
        <v>2</v>
      </c>
      <c r="D3" s="20" t="s">
        <v>76</v>
      </c>
      <c r="E3" s="21">
        <v>865080340001</v>
      </c>
      <c r="F3" s="22">
        <v>0.18</v>
      </c>
      <c r="G3" s="24">
        <v>865080340001</v>
      </c>
      <c r="H3" s="25" t="s">
        <v>4</v>
      </c>
    </row>
    <row r="4" spans="2:8" x14ac:dyDescent="0.25">
      <c r="B4" s="10" t="s">
        <v>78</v>
      </c>
      <c r="C4" s="4">
        <v>4</v>
      </c>
      <c r="D4" s="4" t="s">
        <v>71</v>
      </c>
      <c r="E4" s="4" t="s">
        <v>73</v>
      </c>
      <c r="F4" s="5">
        <v>0.1</v>
      </c>
      <c r="G4" s="6" t="s">
        <v>73</v>
      </c>
      <c r="H4" s="9" t="s">
        <v>72</v>
      </c>
    </row>
    <row r="5" spans="2:8" x14ac:dyDescent="0.25">
      <c r="B5" s="8" t="s">
        <v>5</v>
      </c>
      <c r="C5" s="4">
        <v>1</v>
      </c>
      <c r="D5" s="4" t="s">
        <v>42</v>
      </c>
      <c r="E5" s="4" t="s">
        <v>63</v>
      </c>
      <c r="F5" s="7">
        <v>1.89E-2</v>
      </c>
      <c r="G5" s="6" t="s">
        <v>63</v>
      </c>
      <c r="H5" s="9" t="s">
        <v>6</v>
      </c>
    </row>
    <row r="6" spans="2:8" x14ac:dyDescent="0.25">
      <c r="B6" s="8" t="s">
        <v>7</v>
      </c>
      <c r="C6" s="4">
        <v>1</v>
      </c>
      <c r="D6" s="4" t="s">
        <v>8</v>
      </c>
      <c r="E6" s="4" t="s">
        <v>8</v>
      </c>
      <c r="F6" s="5">
        <v>0.3</v>
      </c>
      <c r="G6" s="6" t="s">
        <v>8</v>
      </c>
      <c r="H6" s="9" t="s">
        <v>9</v>
      </c>
    </row>
    <row r="7" spans="2:8" x14ac:dyDescent="0.25">
      <c r="B7" s="10" t="s">
        <v>10</v>
      </c>
      <c r="C7" s="4">
        <v>6</v>
      </c>
      <c r="D7" s="4" t="s">
        <v>11</v>
      </c>
      <c r="E7" s="4" t="s">
        <v>64</v>
      </c>
      <c r="F7" s="5">
        <v>0.34</v>
      </c>
      <c r="G7" s="6" t="s">
        <v>64</v>
      </c>
      <c r="H7" s="9" t="s">
        <v>12</v>
      </c>
    </row>
    <row r="8" spans="2:8" x14ac:dyDescent="0.25">
      <c r="B8" s="8" t="s">
        <v>13</v>
      </c>
      <c r="C8" s="4">
        <v>1</v>
      </c>
      <c r="D8" s="4" t="s">
        <v>14</v>
      </c>
      <c r="E8" s="4" t="s">
        <v>14</v>
      </c>
      <c r="F8" s="5">
        <v>0.31</v>
      </c>
      <c r="G8" s="6" t="s">
        <v>65</v>
      </c>
      <c r="H8" s="9" t="s">
        <v>15</v>
      </c>
    </row>
    <row r="9" spans="2:8" x14ac:dyDescent="0.25">
      <c r="B9" s="8" t="s">
        <v>16</v>
      </c>
      <c r="C9" s="4">
        <v>1</v>
      </c>
      <c r="D9" s="4" t="s">
        <v>17</v>
      </c>
      <c r="E9" s="4" t="s">
        <v>67</v>
      </c>
      <c r="F9" s="5">
        <v>2.5</v>
      </c>
      <c r="G9" s="6" t="s">
        <v>67</v>
      </c>
      <c r="H9" s="9" t="s">
        <v>18</v>
      </c>
    </row>
    <row r="10" spans="2:8" x14ac:dyDescent="0.25">
      <c r="B10" s="8" t="s">
        <v>19</v>
      </c>
      <c r="C10" s="4">
        <v>1</v>
      </c>
      <c r="D10" s="4" t="s">
        <v>20</v>
      </c>
      <c r="E10" s="4" t="s">
        <v>69</v>
      </c>
      <c r="F10" s="5">
        <v>0.14000000000000001</v>
      </c>
      <c r="G10" s="6" t="s">
        <v>68</v>
      </c>
      <c r="H10" s="9" t="s">
        <v>21</v>
      </c>
    </row>
    <row r="11" spans="2:8" x14ac:dyDescent="0.25">
      <c r="B11" s="8" t="s">
        <v>22</v>
      </c>
      <c r="C11" s="4">
        <v>1</v>
      </c>
      <c r="D11" s="4" t="s">
        <v>46</v>
      </c>
      <c r="E11" s="4" t="s">
        <v>60</v>
      </c>
      <c r="F11" s="5">
        <v>0.14000000000000001</v>
      </c>
      <c r="G11" s="6" t="s">
        <v>60</v>
      </c>
      <c r="H11" s="9" t="s">
        <v>23</v>
      </c>
    </row>
    <row r="12" spans="2:8" x14ac:dyDescent="0.25">
      <c r="B12" s="8" t="s">
        <v>24</v>
      </c>
      <c r="C12" s="4">
        <v>1</v>
      </c>
      <c r="D12" s="4" t="s">
        <v>47</v>
      </c>
      <c r="E12" s="4" t="s">
        <v>61</v>
      </c>
      <c r="F12" s="5">
        <v>0.14000000000000001</v>
      </c>
      <c r="G12" s="6" t="s">
        <v>61</v>
      </c>
      <c r="H12" s="9" t="s">
        <v>23</v>
      </c>
    </row>
    <row r="13" spans="2:8" x14ac:dyDescent="0.25">
      <c r="B13" s="8" t="s">
        <v>25</v>
      </c>
      <c r="C13" s="4">
        <v>2</v>
      </c>
      <c r="D13" s="4" t="s">
        <v>48</v>
      </c>
      <c r="E13" s="4" t="s">
        <v>55</v>
      </c>
      <c r="F13" s="5">
        <v>0.12</v>
      </c>
      <c r="G13" s="6" t="s">
        <v>55</v>
      </c>
      <c r="H13" s="9" t="s">
        <v>23</v>
      </c>
    </row>
    <row r="14" spans="2:8" x14ac:dyDescent="0.25">
      <c r="B14" s="8" t="s">
        <v>26</v>
      </c>
      <c r="C14" s="4">
        <v>1</v>
      </c>
      <c r="D14" s="4" t="s">
        <v>49</v>
      </c>
      <c r="E14" s="4" t="s">
        <v>59</v>
      </c>
      <c r="F14" s="5">
        <v>0.14000000000000001</v>
      </c>
      <c r="G14" s="6" t="s">
        <v>59</v>
      </c>
      <c r="H14" s="9" t="s">
        <v>23</v>
      </c>
    </row>
    <row r="15" spans="2:8" x14ac:dyDescent="0.25">
      <c r="B15" s="8" t="s">
        <v>27</v>
      </c>
      <c r="C15" s="4">
        <v>1</v>
      </c>
      <c r="D15" s="4" t="s">
        <v>50</v>
      </c>
      <c r="E15" s="4" t="s">
        <v>58</v>
      </c>
      <c r="F15" s="5">
        <v>0.14000000000000001</v>
      </c>
      <c r="G15" s="6" t="s">
        <v>58</v>
      </c>
      <c r="H15" s="9" t="s">
        <v>23</v>
      </c>
    </row>
    <row r="16" spans="2:8" x14ac:dyDescent="0.25">
      <c r="B16" s="8" t="s">
        <v>28</v>
      </c>
      <c r="C16" s="4">
        <v>1</v>
      </c>
      <c r="D16" s="4" t="s">
        <v>51</v>
      </c>
      <c r="E16" s="4" t="s">
        <v>57</v>
      </c>
      <c r="F16" s="5">
        <v>0.14000000000000001</v>
      </c>
      <c r="G16" s="6" t="s">
        <v>57</v>
      </c>
      <c r="H16" s="9" t="s">
        <v>23</v>
      </c>
    </row>
    <row r="17" spans="2:8" x14ac:dyDescent="0.25">
      <c r="B17" s="8" t="s">
        <v>29</v>
      </c>
      <c r="C17" s="4">
        <v>1</v>
      </c>
      <c r="D17" s="4" t="s">
        <v>52</v>
      </c>
      <c r="E17" s="4" t="s">
        <v>54</v>
      </c>
      <c r="F17" s="5">
        <v>0.14000000000000001</v>
      </c>
      <c r="G17" s="6" t="s">
        <v>54</v>
      </c>
      <c r="H17" s="9" t="s">
        <v>23</v>
      </c>
    </row>
    <row r="18" spans="2:8" x14ac:dyDescent="0.25">
      <c r="B18" s="8" t="s">
        <v>30</v>
      </c>
      <c r="C18" s="4">
        <v>1</v>
      </c>
      <c r="D18" s="4" t="s">
        <v>53</v>
      </c>
      <c r="E18" s="4" t="s">
        <v>56</v>
      </c>
      <c r="F18" s="5">
        <v>0.13</v>
      </c>
      <c r="G18" s="6" t="s">
        <v>56</v>
      </c>
      <c r="H18" s="9" t="s">
        <v>23</v>
      </c>
    </row>
    <row r="19" spans="2:8" x14ac:dyDescent="0.25">
      <c r="B19" s="8" t="s">
        <v>31</v>
      </c>
      <c r="C19" s="4">
        <v>1</v>
      </c>
      <c r="D19" s="4" t="s">
        <v>48</v>
      </c>
      <c r="E19" s="4" t="s">
        <v>62</v>
      </c>
      <c r="F19" s="5">
        <v>0.1</v>
      </c>
      <c r="G19" s="6" t="s">
        <v>62</v>
      </c>
      <c r="H19" s="9" t="s">
        <v>32</v>
      </c>
    </row>
    <row r="20" spans="2:8" x14ac:dyDescent="0.25">
      <c r="B20" s="10" t="s">
        <v>33</v>
      </c>
      <c r="C20" s="4">
        <v>9</v>
      </c>
      <c r="D20" s="4" t="s">
        <v>34</v>
      </c>
      <c r="E20" s="4" t="s">
        <v>70</v>
      </c>
      <c r="F20" s="5">
        <f>6.5/100</f>
        <v>6.5000000000000002E-2</v>
      </c>
      <c r="G20" s="6" t="s">
        <v>68</v>
      </c>
      <c r="H20" s="9" t="s">
        <v>35</v>
      </c>
    </row>
    <row r="21" spans="2:8" x14ac:dyDescent="0.25">
      <c r="B21" s="8" t="s">
        <v>79</v>
      </c>
      <c r="C21" s="4">
        <v>1</v>
      </c>
      <c r="D21" s="4" t="s">
        <v>80</v>
      </c>
      <c r="E21" s="4" t="s">
        <v>83</v>
      </c>
      <c r="F21" s="5">
        <v>0.1</v>
      </c>
      <c r="G21" s="6" t="s">
        <v>83</v>
      </c>
      <c r="H21" s="9" t="s">
        <v>82</v>
      </c>
    </row>
    <row r="22" spans="2:8" x14ac:dyDescent="0.25">
      <c r="B22" s="8" t="s">
        <v>36</v>
      </c>
      <c r="C22" s="4">
        <v>1</v>
      </c>
      <c r="D22" s="4" t="s">
        <v>74</v>
      </c>
      <c r="E22" s="4" t="s">
        <v>74</v>
      </c>
      <c r="F22" s="5">
        <v>0.42</v>
      </c>
      <c r="G22" s="6" t="s">
        <v>74</v>
      </c>
      <c r="H22" s="9" t="s">
        <v>38</v>
      </c>
    </row>
    <row r="23" spans="2:8" x14ac:dyDescent="0.25">
      <c r="B23" s="8" t="s">
        <v>37</v>
      </c>
      <c r="C23" s="4">
        <v>1</v>
      </c>
      <c r="D23" s="4" t="s">
        <v>75</v>
      </c>
      <c r="E23" s="4" t="s">
        <v>75</v>
      </c>
      <c r="F23" s="5">
        <v>2.71</v>
      </c>
      <c r="G23" s="6" t="s">
        <v>75</v>
      </c>
      <c r="H23" s="9" t="s">
        <v>81</v>
      </c>
    </row>
    <row r="24" spans="2:8" ht="15.75" thickBot="1" x14ac:dyDescent="0.3">
      <c r="B24" s="11" t="s">
        <v>39</v>
      </c>
      <c r="C24" s="12">
        <v>1</v>
      </c>
      <c r="D24" s="12" t="s">
        <v>40</v>
      </c>
      <c r="E24" s="12" t="s">
        <v>40</v>
      </c>
      <c r="F24" s="13">
        <v>0.69</v>
      </c>
      <c r="G24" s="14" t="s">
        <v>66</v>
      </c>
      <c r="H24" s="15" t="s">
        <v>41</v>
      </c>
    </row>
    <row r="25" spans="2:8" ht="15.75" thickBot="1" x14ac:dyDescent="0.3">
      <c r="B25" s="2"/>
      <c r="C25" s="2"/>
      <c r="D25" s="2"/>
      <c r="E25" s="2"/>
      <c r="F25" s="3"/>
      <c r="G25" s="2"/>
      <c r="H25" s="2"/>
    </row>
    <row r="26" spans="2:8" ht="21.75" thickBot="1" x14ac:dyDescent="0.4">
      <c r="B26" s="2"/>
      <c r="C26" s="2"/>
      <c r="D26" s="2"/>
      <c r="E26" s="16" t="s">
        <v>84</v>
      </c>
      <c r="F26" s="17">
        <f>SUMPRODUCT(F3:F24, C3:C24)</f>
        <v>11.883899999999999</v>
      </c>
      <c r="G26" s="2"/>
      <c r="H26" s="2"/>
    </row>
    <row r="27" spans="2:8" ht="21.75" thickBot="1" x14ac:dyDescent="0.4">
      <c r="E27" s="26" t="s">
        <v>85</v>
      </c>
      <c r="F27" s="27">
        <v>5.2</v>
      </c>
      <c r="G27" s="2" t="s">
        <v>87</v>
      </c>
    </row>
    <row r="28" spans="2:8" ht="21.75" thickBot="1" x14ac:dyDescent="0.4">
      <c r="E28" s="26" t="s">
        <v>86</v>
      </c>
      <c r="F28" s="27">
        <v>11</v>
      </c>
      <c r="G28" s="2" t="s">
        <v>87</v>
      </c>
    </row>
    <row r="29" spans="2:8" ht="21.75" thickBot="1" x14ac:dyDescent="0.4">
      <c r="E29" s="26" t="s">
        <v>88</v>
      </c>
      <c r="F29" s="27">
        <f>F26+F27</f>
        <v>17.0839</v>
      </c>
    </row>
    <row r="30" spans="2:8" ht="21.75" thickBot="1" x14ac:dyDescent="0.4">
      <c r="E30" s="26" t="s">
        <v>89</v>
      </c>
      <c r="F30" s="27">
        <f>F26+F29</f>
        <v>28.967799999999997</v>
      </c>
    </row>
  </sheetData>
  <hyperlinks>
    <hyperlink ref="G17" r:id="rId1" display="https://www.digikey.com/en/products/detail/vishay-dale/RCS0603560RFKEA/5868457" xr:uid="{7EF371D9-2967-4066-BD4E-A2C07DCE2CD5}"/>
    <hyperlink ref="G13" r:id="rId2" display="https://www.digikey.com/en/products/detail/koa-speer-electronics-inc/SG73P1JTTD1001F/10188084" xr:uid="{3B9A0B26-4781-4DBA-B1D7-C9ACC3748048}"/>
    <hyperlink ref="G18" r:id="rId3" display="https://www.digikey.com/en/products/detail/vishay-dale/RCS06031K20FKEA/5868493" xr:uid="{01408C16-F6DA-4F63-91FE-2DBF5D4A61D7}"/>
    <hyperlink ref="G16" r:id="rId4" display="https://www.digikey.com/en/products/detail/vishay-dale/RCS06031K80FKEA/5868511" xr:uid="{03D79727-7CB6-4DFC-A855-791D75AD2A02}"/>
    <hyperlink ref="G15" r:id="rId5" display="https://www.digikey.com/en/products/detail/vishay-dale/RCS06033K30FKEA/5868540" xr:uid="{D634F990-D042-4CE3-A327-28F1F9E0069F}"/>
    <hyperlink ref="G14" r:id="rId6" display="https://www.digikey.com/en/products/detail/vishay-dale/RCS06037K50FKEA/5868579" xr:uid="{8F5C9040-220B-40A5-BA39-696F4D9356F0}"/>
    <hyperlink ref="G11" r:id="rId7" display="https://www.digikey.com/en/products/detail/vishay-dale/RCS060310K0FKEA/5866941" xr:uid="{31469ACE-0936-47CF-B601-0F6F0B0151AD}"/>
    <hyperlink ref="G12" r:id="rId8" display="https://www.digikey.com/en/products/detail/vishay-dale/RCS060320K0FKEA/5866943" xr:uid="{7F4B50B1-7E57-4200-B3F7-EA75BF1F243F}"/>
    <hyperlink ref="G19" r:id="rId9" display="https://www.digikey.com/en/products/detail/yageo/MFR50SFTE52-1K/9151157" xr:uid="{41EB912A-30C7-4726-B686-58273F6969A3}"/>
    <hyperlink ref="G5" r:id="rId10" xr:uid="{D61E0799-40A3-46DC-AF0B-3CBA6ABA4605}"/>
    <hyperlink ref="G7" r:id="rId11" display="https://www.digikey.com/en/products/detail/toshiba-semiconductor-and-storage/CUS15S30-H3F/5114301" xr:uid="{E8E7ADB6-CEC0-4717-9945-05E9702517BA}"/>
    <hyperlink ref="G6" r:id="rId12" display="https://www.digikey.com/en/products/detail/onsemi/ESD9C5-0ST5G/1646451" xr:uid="{7196A649-EC0D-4BD9-A447-7C5DB47B107B}"/>
    <hyperlink ref="G8" r:id="rId13" xr:uid="{E8203715-7FA5-4DE9-B141-D1CA05A9A3F0}"/>
    <hyperlink ref="G24" r:id="rId14" xr:uid="{08530F85-D094-4601-9D39-F95ABB53931A}"/>
    <hyperlink ref="G9" r:id="rId15" display="https://www.digikey.com/en/products/detail/mpd-memory-protection-devices/BA9VPC/2439228?s=N4IgTCBcDaIEIEECcA1ACgYRAXQL5A" xr:uid="{7036F53B-E38B-467A-B6C2-1636B92F4EF9}"/>
    <hyperlink ref="G10" r:id="rId16" xr:uid="{9CF902A4-1841-4F5C-81E6-783A01D38C25}"/>
    <hyperlink ref="G20" r:id="rId17" xr:uid="{26C8DD46-7661-4960-9F25-8C0FA8917AE2}"/>
    <hyperlink ref="G4" r:id="rId18" xr:uid="{AE47CA2B-961F-47CD-91BE-C726F8BB0802}"/>
    <hyperlink ref="G22" r:id="rId19" xr:uid="{3C854E6B-DE58-4085-908D-8902098DD91D}"/>
    <hyperlink ref="G23" r:id="rId20" xr:uid="{F0DFC141-A8AF-4895-9B1D-0C2246D43EEB}"/>
    <hyperlink ref="G3" r:id="rId21" display="https://www.digikey.com/en/products/detail/w%C3%BCrth-elektronik/865080340001/5728006" xr:uid="{024E506B-1F88-4695-BB8D-678C9AD4DE24}"/>
    <hyperlink ref="G21" r:id="rId22" xr:uid="{69A2E0C8-1E0C-4B4A-8F72-AE5C44A505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Ogwu, Ifeoma</dc:creator>
  <cp:lastModifiedBy>Ogwu, Ifeoma</cp:lastModifiedBy>
  <dcterms:created xsi:type="dcterms:W3CDTF">2026-04-24T16:26:59Z</dcterms:created>
  <dcterms:modified xsi:type="dcterms:W3CDTF">2026-04-28T13:10:09Z</dcterms:modified>
</cp:coreProperties>
</file>